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TOS" sheetId="1" r:id="rId5"/>
    <sheet state="visible" name="FORNECEDORES" sheetId="2" r:id="rId6"/>
    <sheet state="visible" name="ENTRADAS" sheetId="3" r:id="rId7"/>
    <sheet state="visible" name="SAÍDAS" sheetId="4" r:id="rId8"/>
    <sheet state="visible" name="ESTOQUE" sheetId="5" r:id="rId9"/>
    <sheet state="visible" name="DASHBOARD" sheetId="6" r:id="rId10"/>
  </sheets>
  <definedNames>
    <definedName hidden="1" localSheetId="0" name="_xlnm._FilterDatabase">PRODUTOS!$A$1:$G$4</definedName>
    <definedName hidden="1" localSheetId="1" name="_xlnm._FilterDatabase">FORNECEDORES!$A$1:$E$3</definedName>
    <definedName hidden="1" localSheetId="2" name="_xlnm._FilterDatabase">ENTRADAS!$A$1:$G$1</definedName>
    <definedName hidden="1" localSheetId="3" name="_xlnm._FilterDatabase">'SAÍDAS'!$A$1:$F$4</definedName>
    <definedName hidden="1" localSheetId="4" name="_xlnm._FilterDatabase">ESTOQUE!$A$1:$K$3</definedName>
  </definedNames>
  <calcPr/>
</workbook>
</file>

<file path=xl/sharedStrings.xml><?xml version="1.0" encoding="utf-8"?>
<sst xmlns="http://schemas.openxmlformats.org/spreadsheetml/2006/main" count="97" uniqueCount="60">
  <si>
    <t>Código</t>
  </si>
  <si>
    <t>Produto</t>
  </si>
  <si>
    <t>Categoria</t>
  </si>
  <si>
    <t>Unidade</t>
  </si>
  <si>
    <t>Preço de custo</t>
  </si>
  <si>
    <t>Preço de venda</t>
  </si>
  <si>
    <t>Estoque mínimo</t>
  </si>
  <si>
    <t>P001</t>
  </si>
  <si>
    <t>Arroz 5kg</t>
  </si>
  <si>
    <t>Alimentos</t>
  </si>
  <si>
    <t>Pacote</t>
  </si>
  <si>
    <t>P002</t>
  </si>
  <si>
    <t>Feijão 1kg</t>
  </si>
  <si>
    <t>P003</t>
  </si>
  <si>
    <t>Óleo 900ml</t>
  </si>
  <si>
    <t>ID Fornecedor</t>
  </si>
  <si>
    <t>Nome</t>
  </si>
  <si>
    <t>Contato</t>
  </si>
  <si>
    <t>Telefone</t>
  </si>
  <si>
    <t>E-mail</t>
  </si>
  <si>
    <t>F001</t>
  </si>
  <si>
    <t>Distribuidora Central</t>
  </si>
  <si>
    <t>Ana</t>
  </si>
  <si>
    <t>central@exemplo.com</t>
  </si>
  <si>
    <t>F002</t>
  </si>
  <si>
    <t>Atacado Brasil</t>
  </si>
  <si>
    <t>João</t>
  </si>
  <si>
    <t>atacado@exemplo.com</t>
  </si>
  <si>
    <t>Data</t>
  </si>
  <si>
    <t>Código do produto</t>
  </si>
  <si>
    <t>Quantidade</t>
  </si>
  <si>
    <t>Custo unitário</t>
  </si>
  <si>
    <t>Nota fiscal</t>
  </si>
  <si>
    <t>Valor total</t>
  </si>
  <si>
    <t>17/10/2026</t>
  </si>
  <si>
    <t>NF001</t>
  </si>
  <si>
    <t>NF002</t>
  </si>
  <si>
    <t>NF003</t>
  </si>
  <si>
    <t>Tipo de saída</t>
  </si>
  <si>
    <t>Destino/Cliente</t>
  </si>
  <si>
    <t>Observação</t>
  </si>
  <si>
    <t>Venda</t>
  </si>
  <si>
    <t>Cliente 001</t>
  </si>
  <si>
    <t>Teste de saída</t>
  </si>
  <si>
    <t>Cliente 002</t>
  </si>
  <si>
    <t>Perda</t>
  </si>
  <si>
    <t>Estoque</t>
  </si>
  <si>
    <t>Teste de perda</t>
  </si>
  <si>
    <t>Total de entradas</t>
  </si>
  <si>
    <t>Total de saídas</t>
  </si>
  <si>
    <t>Saldo atual</t>
  </si>
  <si>
    <t>Status</t>
  </si>
  <si>
    <t>Valor em estoque</t>
  </si>
  <si>
    <t>SISTEMA DE GESTÃO DE ESTOQUE</t>
  </si>
  <si>
    <t>PRODUTOS CADASTRADOS</t>
  </si>
  <si>
    <t>PRODUTOS PARA REPOSIÇÃO</t>
  </si>
  <si>
    <t>VALOR DO ESTOQUE</t>
  </si>
  <si>
    <t>TOTAL DE ENTRADAS</t>
  </si>
  <si>
    <t>OK</t>
  </si>
  <si>
    <t>REPOR ESTOQUE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</si>
</sst>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2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theme="7"/>
          <bgColor theme="7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</c:dPt>
          <c:dPt>
            <c:idx val="5"/>
          </c:dPt>
          <c:dPt>
            <c:idx val="6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DASHBOARD!$A$3:$A$9</c:f>
            </c:strRef>
          </c:cat>
          <c:val>
            <c:numRef>
              <c:f>DASHBOARD!$B$3:$B$9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Valor em estoque versus Produto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DASHBOARD!$G$1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DASHBOARD!$F$2:$F$4</c:f>
            </c:strRef>
          </c:cat>
          <c:val>
            <c:numRef>
              <c:f>DASHBOARD!$G$2:$G$4</c:f>
              <c:numCache/>
            </c:numRef>
          </c:val>
        </c:ser>
        <c:axId val="2016521248"/>
        <c:axId val="1106211718"/>
      </c:barChart>
      <c:catAx>
        <c:axId val="20165212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6211718"/>
      </c:catAx>
      <c:valAx>
        <c:axId val="11062117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Valor em estoque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65212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Quantidade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DASHBOARD!$B$13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DASHBOARD!$A$14:$A$15</c:f>
            </c:strRef>
          </c:cat>
          <c:val>
            <c:numRef>
              <c:f>DASHBOARD!$B$14:$B$15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85725</xdr:colOff>
      <xdr:row>0</xdr:row>
      <xdr:rowOff>0</xdr:rowOff>
    </xdr:from>
    <xdr:ext cx="3438525" cy="211455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190500</xdr:colOff>
      <xdr:row>0</xdr:row>
      <xdr:rowOff>161925</xdr:rowOff>
    </xdr:from>
    <xdr:ext cx="3762375" cy="1790700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142875</xdr:colOff>
      <xdr:row>10</xdr:row>
      <xdr:rowOff>180975</xdr:rowOff>
    </xdr:from>
    <xdr:ext cx="3438525" cy="1695450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7</v>
      </c>
      <c r="B2" s="3" t="s">
        <v>8</v>
      </c>
      <c r="C2" s="3" t="s">
        <v>9</v>
      </c>
      <c r="D2" s="3" t="s">
        <v>10</v>
      </c>
      <c r="E2" s="3">
        <v>25.0</v>
      </c>
      <c r="F2" s="3">
        <v>32.0</v>
      </c>
      <c r="G2" s="3">
        <v>10.0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 t="s">
        <v>11</v>
      </c>
      <c r="B3" s="3" t="s">
        <v>12</v>
      </c>
      <c r="C3" s="3" t="s">
        <v>9</v>
      </c>
      <c r="D3" s="3" t="s">
        <v>10</v>
      </c>
      <c r="E3" s="3">
        <v>7.0</v>
      </c>
      <c r="F3" s="3">
        <v>10.0</v>
      </c>
      <c r="G3" s="3">
        <v>15.0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13</v>
      </c>
      <c r="B4" s="3" t="s">
        <v>14</v>
      </c>
      <c r="C4" s="3" t="s">
        <v>9</v>
      </c>
      <c r="D4" s="3" t="s">
        <v>3</v>
      </c>
      <c r="E4" s="3">
        <v>6.0</v>
      </c>
      <c r="F4" s="3">
        <v>9.0</v>
      </c>
      <c r="G4" s="3">
        <v>12.0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autoFilter ref="$A$1:$G$4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25.13"/>
  </cols>
  <sheetData>
    <row r="1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20</v>
      </c>
      <c r="B2" s="3" t="s">
        <v>21</v>
      </c>
      <c r="C2" s="3" t="s">
        <v>22</v>
      </c>
      <c r="D2" s="3">
        <v>6.1999990001E10</v>
      </c>
      <c r="E2" s="3" t="s">
        <v>23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 t="s">
        <v>24</v>
      </c>
      <c r="B3" s="3" t="s">
        <v>25</v>
      </c>
      <c r="C3" s="3" t="s">
        <v>26</v>
      </c>
      <c r="D3" s="3">
        <v>6.1999990002E10</v>
      </c>
      <c r="E3" s="3" t="s">
        <v>27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A$1:$E$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5.38"/>
  </cols>
  <sheetData>
    <row r="1">
      <c r="A1" s="1" t="s">
        <v>28</v>
      </c>
      <c r="B1" s="1" t="s">
        <v>29</v>
      </c>
      <c r="C1" s="1" t="s">
        <v>30</v>
      </c>
      <c r="D1" s="1" t="s">
        <v>31</v>
      </c>
      <c r="E1" s="1" t="s">
        <v>15</v>
      </c>
      <c r="F1" s="1" t="s">
        <v>32</v>
      </c>
      <c r="G1" s="1" t="s">
        <v>33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34</v>
      </c>
      <c r="B2" s="3" t="s">
        <v>7</v>
      </c>
      <c r="C2" s="3">
        <v>20.0</v>
      </c>
      <c r="D2" s="3">
        <v>25.0</v>
      </c>
      <c r="E2" s="3" t="s">
        <v>20</v>
      </c>
      <c r="F2" s="3" t="s">
        <v>35</v>
      </c>
      <c r="G2" s="3">
        <f t="shared" ref="G2:G57" si="1">IF(OR(A2="",B2="",C2="",D2=""),"",C2*D2)</f>
        <v>500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 t="s">
        <v>34</v>
      </c>
      <c r="B3" s="3" t="s">
        <v>11</v>
      </c>
      <c r="C3" s="3">
        <v>30.0</v>
      </c>
      <c r="D3" s="3">
        <v>7.0</v>
      </c>
      <c r="E3" s="3" t="s">
        <v>24</v>
      </c>
      <c r="F3" s="3" t="s">
        <v>36</v>
      </c>
      <c r="G3" s="3">
        <f t="shared" si="1"/>
        <v>210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34</v>
      </c>
      <c r="B4" s="3" t="s">
        <v>13</v>
      </c>
      <c r="C4" s="3">
        <v>20.0</v>
      </c>
      <c r="D4" s="3">
        <v>6.0</v>
      </c>
      <c r="E4" s="3" t="s">
        <v>20</v>
      </c>
      <c r="F4" s="3" t="s">
        <v>37</v>
      </c>
      <c r="G4" s="3">
        <f t="shared" si="1"/>
        <v>120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4"/>
      <c r="C5" s="4"/>
      <c r="D5" s="4"/>
      <c r="E5" s="4"/>
      <c r="F5" s="4"/>
      <c r="G5" s="3" t="str">
        <f t="shared" si="1"/>
        <v/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3" t="str">
        <f t="shared" si="1"/>
        <v/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3" t="str">
        <f t="shared" si="1"/>
        <v/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3" t="str">
        <f t="shared" si="1"/>
        <v/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3" t="str">
        <f t="shared" si="1"/>
        <v/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3" t="str">
        <f t="shared" si="1"/>
        <v/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3" t="str">
        <f t="shared" si="1"/>
        <v/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3" t="str">
        <f t="shared" si="1"/>
        <v/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3" t="str">
        <f t="shared" si="1"/>
        <v/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3" t="str">
        <f t="shared" si="1"/>
        <v/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3" t="str">
        <f t="shared" si="1"/>
        <v/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3" t="str">
        <f t="shared" si="1"/>
        <v/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3" t="str">
        <f t="shared" si="1"/>
        <v/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 t="str">
        <f t="shared" si="1"/>
        <v/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 t="str">
        <f t="shared" si="1"/>
        <v/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 t="str">
        <f t="shared" si="1"/>
        <v/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 t="str">
        <f t="shared" si="1"/>
        <v/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 t="str">
        <f t="shared" si="1"/>
        <v/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 t="str">
        <f t="shared" si="1"/>
        <v/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 t="str">
        <f t="shared" si="1"/>
        <v/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 t="str">
        <f t="shared" si="1"/>
        <v/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 t="str">
        <f t="shared" si="1"/>
        <v/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 t="str">
        <f t="shared" si="1"/>
        <v/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 t="str">
        <f t="shared" si="1"/>
        <v/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 t="str">
        <f t="shared" si="1"/>
        <v/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 t="str">
        <f t="shared" si="1"/>
        <v/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 t="str">
        <f t="shared" si="1"/>
        <v/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 t="str">
        <f t="shared" si="1"/>
        <v/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 t="str">
        <f t="shared" si="1"/>
        <v/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 t="str">
        <f t="shared" si="1"/>
        <v/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 t="str">
        <f t="shared" si="1"/>
        <v/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 t="str">
        <f t="shared" si="1"/>
        <v/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 t="str">
        <f t="shared" si="1"/>
        <v/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 t="str">
        <f t="shared" si="1"/>
        <v/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 t="str">
        <f t="shared" si="1"/>
        <v/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 t="str">
        <f t="shared" si="1"/>
        <v/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 t="str">
        <f t="shared" si="1"/>
        <v/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 t="str">
        <f t="shared" si="1"/>
        <v/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 t="str">
        <f t="shared" si="1"/>
        <v/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 t="str">
        <f t="shared" si="1"/>
        <v/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 t="str">
        <f t="shared" si="1"/>
        <v/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 t="str">
        <f t="shared" si="1"/>
        <v/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 t="str">
        <f t="shared" si="1"/>
        <v/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 t="str">
        <f t="shared" si="1"/>
        <v/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 t="str">
        <f t="shared" si="1"/>
        <v/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 t="str">
        <f t="shared" si="1"/>
        <v/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 t="str">
        <f t="shared" si="1"/>
        <v/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 t="str">
        <f t="shared" si="1"/>
        <v/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 t="str">
        <f t="shared" si="1"/>
        <v/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 t="str">
        <f t="shared" si="1"/>
        <v/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 t="str">
        <f t="shared" si="1"/>
        <v/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 t="str">
        <f t="shared" si="1"/>
        <v/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 t="str">
        <f t="shared" si="1"/>
        <v/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</sheetData>
  <autoFilter ref="$A$1:$G$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88"/>
  </cols>
  <sheetData>
    <row r="1">
      <c r="A1" s="1" t="s">
        <v>28</v>
      </c>
      <c r="B1" s="1" t="s">
        <v>29</v>
      </c>
      <c r="C1" s="1" t="s">
        <v>30</v>
      </c>
      <c r="D1" s="1" t="s">
        <v>38</v>
      </c>
      <c r="E1" s="1" t="s">
        <v>39</v>
      </c>
      <c r="F1" s="1" t="s">
        <v>40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34</v>
      </c>
      <c r="B2" s="3" t="s">
        <v>7</v>
      </c>
      <c r="C2" s="3">
        <v>3.0</v>
      </c>
      <c r="D2" s="3" t="s">
        <v>41</v>
      </c>
      <c r="E2" s="3" t="s">
        <v>42</v>
      </c>
      <c r="F2" s="3" t="s">
        <v>43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 t="s">
        <v>34</v>
      </c>
      <c r="B3" s="3" t="s">
        <v>11</v>
      </c>
      <c r="C3" s="3">
        <v>16.0</v>
      </c>
      <c r="D3" s="3" t="s">
        <v>41</v>
      </c>
      <c r="E3" s="3" t="s">
        <v>44</v>
      </c>
      <c r="F3" s="3" t="s">
        <v>43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34</v>
      </c>
      <c r="B4" s="3" t="s">
        <v>13</v>
      </c>
      <c r="C4" s="3">
        <v>8.0</v>
      </c>
      <c r="D4" s="3" t="s">
        <v>45</v>
      </c>
      <c r="E4" s="3" t="s">
        <v>46</v>
      </c>
      <c r="F4" s="3" t="s">
        <v>47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autoFilter ref="$A$1:$F$4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9.75"/>
    <col customWidth="1" min="6" max="6" width="17.75"/>
    <col customWidth="1" min="8" max="8" width="17.75"/>
    <col customWidth="1" min="9" max="9" width="16.25"/>
    <col customWidth="1" min="10" max="10" width="1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48</v>
      </c>
      <c r="F1" s="1" t="s">
        <v>49</v>
      </c>
      <c r="G1" s="1" t="s">
        <v>50</v>
      </c>
      <c r="H1" s="1" t="s">
        <v>6</v>
      </c>
      <c r="I1" s="1" t="s">
        <v>51</v>
      </c>
      <c r="J1" s="1" t="s">
        <v>4</v>
      </c>
      <c r="K1" s="1" t="s">
        <v>52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 t="str">
        <f>IF(PRODUTOS!A2="","",PRODUTOS!A2)</f>
        <v>P001</v>
      </c>
      <c r="B2" s="4" t="str">
        <f>IF(A2="","",IFERROR(VLOOKUP(A2,PRODUTOS!A:B,2,FALSE),""))</f>
        <v>Arroz 5kg</v>
      </c>
      <c r="C2" s="4" t="str">
        <f>IF(A2="","",IFERROR(VLOOKUP(A2,PRODUTOS!A:C,3,FALSE),""))</f>
        <v>Alimentos</v>
      </c>
      <c r="D2" s="4" t="str">
        <f>IF(A2="","",IFERROR(VLOOKUP(A2,PRODUTOS!A:D,4,FALSE),""))</f>
        <v>Pacote</v>
      </c>
      <c r="E2" s="4">
        <f>IF(A2="","",SUMIF(ENTRADAS!B:B,A2,ENTRADAS!C:C))</f>
        <v>20</v>
      </c>
      <c r="F2" s="4">
        <f>IF(A2="","",SUMIF('SAÍDAS'!B:B,A2,'SAÍDAS'!C:C))</f>
        <v>3</v>
      </c>
      <c r="G2" s="4">
        <f t="shared" ref="G2:G39" si="1">IF(A2="","",E2-F2)</f>
        <v>17</v>
      </c>
      <c r="H2" s="4">
        <f>IF(A2="","",IFERROR(VLOOKUP(A2,PRODUTOS!A:G,7,FALSE),""))</f>
        <v>10</v>
      </c>
      <c r="I2" s="4" t="str">
        <f t="shared" ref="I2:I54" si="2">IF(OR(A2="",H2=""),"",IF(G2&lt;=H2,"REPOR ESTOQUE","OK"))</f>
        <v>OK</v>
      </c>
      <c r="J2" s="4">
        <f>IF(A2="","",IFERROR(VLOOKUP(A2,PRODUTOS!A:E,5,FALSE),""))</f>
        <v>25</v>
      </c>
      <c r="K2" s="4">
        <f t="shared" ref="K2:K42" si="3">IF(OR(A2="",J2=""),"",G2*J2)</f>
        <v>425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 t="str">
        <f>IF(PRODUTOS!A3="","",PRODUTOS!A3)</f>
        <v>P002</v>
      </c>
      <c r="B3" s="4" t="str">
        <f>IF(A3="","",IFERROR(VLOOKUP(A3,PRODUTOS!A:B,2,FALSE),""))</f>
        <v>Feijão 1kg</v>
      </c>
      <c r="C3" s="4" t="str">
        <f>IF(A3="","",IFERROR(VLOOKUP(A3,PRODUTOS!A:C,3,FALSE),""))</f>
        <v>Alimentos</v>
      </c>
      <c r="D3" s="4" t="str">
        <f>IF(A3="","",IFERROR(VLOOKUP(A3,PRODUTOS!A:D,4,FALSE),""))</f>
        <v>Pacote</v>
      </c>
      <c r="E3" s="4">
        <f>IF(A3="","",SUMIF(ENTRADAS!B:B,A3,ENTRADAS!C:C))</f>
        <v>30</v>
      </c>
      <c r="F3" s="4">
        <f>IF(A3="","",SUMIF('SAÍDAS'!B:B,A3,'SAÍDAS'!C:C))</f>
        <v>16</v>
      </c>
      <c r="G3" s="4">
        <f t="shared" si="1"/>
        <v>14</v>
      </c>
      <c r="H3" s="4">
        <f>IF(A3="","",IFERROR(VLOOKUP(A3,PRODUTOS!A:G,7,FALSE),""))</f>
        <v>15</v>
      </c>
      <c r="I3" s="4" t="str">
        <f t="shared" si="2"/>
        <v>REPOR ESTOQUE</v>
      </c>
      <c r="J3" s="4">
        <f>IF(A3="","",IFERROR(VLOOKUP(A3,PRODUTOS!A:E,5,FALSE),""))</f>
        <v>7</v>
      </c>
      <c r="K3" s="4">
        <f t="shared" si="3"/>
        <v>98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 t="str">
        <f>IF(PRODUTOS!A4="","",PRODUTOS!A4)</f>
        <v>P003</v>
      </c>
      <c r="B4" s="4" t="str">
        <f>IF(A4="","",IFERROR(VLOOKUP(A4,PRODUTOS!A:B,2,FALSE),""))</f>
        <v>Óleo 900ml</v>
      </c>
      <c r="C4" s="4" t="str">
        <f>IF(A4="","",IFERROR(VLOOKUP(A4,PRODUTOS!A:C,3,FALSE),""))</f>
        <v>Alimentos</v>
      </c>
      <c r="D4" s="4" t="str">
        <f>IF(A4="","",IFERROR(VLOOKUP(A4,PRODUTOS!A:D,4,FALSE),""))</f>
        <v>Unidade</v>
      </c>
      <c r="E4" s="4">
        <f>IF(A4="","",SUMIF(ENTRADAS!B:B,A4,ENTRADAS!C:C))</f>
        <v>20</v>
      </c>
      <c r="F4" s="4">
        <f>IF(A4="","",SUMIF('SAÍDAS'!B:B,A4,'SAÍDAS'!C:C))</f>
        <v>8</v>
      </c>
      <c r="G4" s="4">
        <f t="shared" si="1"/>
        <v>12</v>
      </c>
      <c r="H4" s="4">
        <f>IF(A4="","",IFERROR(VLOOKUP(A4,PRODUTOS!A:G,7,FALSE),""))</f>
        <v>12</v>
      </c>
      <c r="I4" s="4" t="str">
        <f t="shared" si="2"/>
        <v>REPOR ESTOQUE</v>
      </c>
      <c r="J4" s="4">
        <f>IF(A4="","",IFERROR(VLOOKUP(A4,PRODUTOS!A:E,5,FALSE),""))</f>
        <v>6</v>
      </c>
      <c r="K4" s="4">
        <f t="shared" si="3"/>
        <v>72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 t="str">
        <f>IF(PRODUTOS!A5="","",PRODUTOS!A5)</f>
        <v/>
      </c>
      <c r="B5" s="4" t="str">
        <f>IF(A5="","",IFERROR(VLOOKUP(A5,PRODUTOS!A:B,2,FALSE),""))</f>
        <v/>
      </c>
      <c r="C5" s="4" t="str">
        <f>IF(A5="","",IFERROR(VLOOKUP(A5,PRODUTOS!A:C,3,FALSE),""))</f>
        <v/>
      </c>
      <c r="D5" s="4" t="str">
        <f>IF(A5="","",IFERROR(VLOOKUP(A5,PRODUTOS!A:D,4,FALSE),""))</f>
        <v/>
      </c>
      <c r="E5" s="4" t="str">
        <f>IF(A5="","",SUMIF(ENTRADAS!B:B,A5,ENTRADAS!C:C))</f>
        <v/>
      </c>
      <c r="F5" s="4" t="str">
        <f>IF(A5="","",SUMIF('SAÍDAS'!B:B,A5,'SAÍDAS'!C:C))</f>
        <v/>
      </c>
      <c r="G5" s="4" t="str">
        <f t="shared" si="1"/>
        <v/>
      </c>
      <c r="H5" s="4" t="str">
        <f>IF(A5="","",IFERROR(VLOOKUP(A5,PRODUTOS!A:G,7,FALSE),""))</f>
        <v/>
      </c>
      <c r="I5" s="4" t="str">
        <f t="shared" si="2"/>
        <v/>
      </c>
      <c r="J5" s="4" t="str">
        <f>IF(A5="","",IFERROR(VLOOKUP(A5,PRODUTOS!A:E,5,FALSE),""))</f>
        <v/>
      </c>
      <c r="K5" s="4" t="str">
        <f t="shared" si="3"/>
        <v/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 t="str">
        <f>IF(PRODUTOS!A6="","",PRODUTOS!A6)</f>
        <v/>
      </c>
      <c r="B6" s="4" t="str">
        <f>IF(A6="","",IFERROR(VLOOKUP(A6,PRODUTOS!A:B,2,FALSE),""))</f>
        <v/>
      </c>
      <c r="C6" s="4" t="str">
        <f>IF(A6="","",IFERROR(VLOOKUP(A6,PRODUTOS!A:C,3,FALSE),""))</f>
        <v/>
      </c>
      <c r="D6" s="4" t="str">
        <f>IF(A6="","",IFERROR(VLOOKUP(A6,PRODUTOS!A:D,4,FALSE),""))</f>
        <v/>
      </c>
      <c r="E6" s="4" t="str">
        <f>IF(A6="","",SUMIF(ENTRADAS!B:B,A6,ENTRADAS!C:C))</f>
        <v/>
      </c>
      <c r="F6" s="4" t="str">
        <f>IF(A6="","",SUMIF('SAÍDAS'!B:B,A6,'SAÍDAS'!C:C))</f>
        <v/>
      </c>
      <c r="G6" s="4" t="str">
        <f t="shared" si="1"/>
        <v/>
      </c>
      <c r="H6" s="4" t="str">
        <f>IF(A6="","",IFERROR(VLOOKUP(A6,PRODUTOS!A:G,7,FALSE),""))</f>
        <v/>
      </c>
      <c r="I6" s="4" t="str">
        <f t="shared" si="2"/>
        <v/>
      </c>
      <c r="J6" s="4" t="str">
        <f>IF(A6="","",IFERROR(VLOOKUP(A6,PRODUTOS!A:E,5,FALSE),""))</f>
        <v/>
      </c>
      <c r="K6" s="4" t="str">
        <f t="shared" si="3"/>
        <v/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 t="str">
        <f>IF(PRODUTOS!A7="","",PRODUTOS!A7)</f>
        <v/>
      </c>
      <c r="B7" s="4" t="str">
        <f>IF(A7="","",IFERROR(VLOOKUP(A7,PRODUTOS!A:B,2,FALSE),""))</f>
        <v/>
      </c>
      <c r="C7" s="4" t="str">
        <f>IF(A7="","",IFERROR(VLOOKUP(A7,PRODUTOS!A:C,3,FALSE),""))</f>
        <v/>
      </c>
      <c r="D7" s="4" t="str">
        <f>IF(A7="","",IFERROR(VLOOKUP(A7,PRODUTOS!A:D,4,FALSE),""))</f>
        <v/>
      </c>
      <c r="E7" s="4" t="str">
        <f>IF(A7="","",SUMIF(ENTRADAS!B:B,A7,ENTRADAS!C:C))</f>
        <v/>
      </c>
      <c r="F7" s="4" t="str">
        <f>IF(A7="","",SUMIF('SAÍDAS'!B:B,A7,'SAÍDAS'!C:C))</f>
        <v/>
      </c>
      <c r="G7" s="4" t="str">
        <f t="shared" si="1"/>
        <v/>
      </c>
      <c r="H7" s="4" t="str">
        <f>IF(A7="","",IFERROR(VLOOKUP(A7,PRODUTOS!A:G,7,FALSE),""))</f>
        <v/>
      </c>
      <c r="I7" s="4" t="str">
        <f t="shared" si="2"/>
        <v/>
      </c>
      <c r="J7" s="4" t="str">
        <f>IF(A7="","",IFERROR(VLOOKUP(A7,PRODUTOS!A:E,5,FALSE),""))</f>
        <v/>
      </c>
      <c r="K7" s="4" t="str">
        <f t="shared" si="3"/>
        <v/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 t="str">
        <f>IF(PRODUTOS!A8="","",PRODUTOS!A8)</f>
        <v/>
      </c>
      <c r="B8" s="4" t="str">
        <f>IF(A8="","",IFERROR(VLOOKUP(A8,PRODUTOS!A:B,2,FALSE),""))</f>
        <v/>
      </c>
      <c r="C8" s="4" t="str">
        <f>IF(A8="","",IFERROR(VLOOKUP(A8,PRODUTOS!A:C,3,FALSE),""))</f>
        <v/>
      </c>
      <c r="D8" s="4" t="str">
        <f>IF(A8="","",IFERROR(VLOOKUP(A8,PRODUTOS!A:D,4,FALSE),""))</f>
        <v/>
      </c>
      <c r="E8" s="4" t="str">
        <f>IF(A8="","",SUMIF(ENTRADAS!B:B,A8,ENTRADAS!C:C))</f>
        <v/>
      </c>
      <c r="F8" s="4" t="str">
        <f>IF(A8="","",SUMIF('SAÍDAS'!B:B,A8,'SAÍDAS'!C:C))</f>
        <v/>
      </c>
      <c r="G8" s="4" t="str">
        <f t="shared" si="1"/>
        <v/>
      </c>
      <c r="H8" s="4" t="str">
        <f>IF(A8="","",IFERROR(VLOOKUP(A8,PRODUTOS!A:G,7,FALSE),""))</f>
        <v/>
      </c>
      <c r="I8" s="4" t="str">
        <f t="shared" si="2"/>
        <v/>
      </c>
      <c r="J8" s="4" t="str">
        <f>IF(A8="","",IFERROR(VLOOKUP(A8,PRODUTOS!A:E,5,FALSE),""))</f>
        <v/>
      </c>
      <c r="K8" s="4" t="str">
        <f t="shared" si="3"/>
        <v/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 t="str">
        <f>IF(PRODUTOS!A9="","",PRODUTOS!A9)</f>
        <v/>
      </c>
      <c r="B9" s="4" t="str">
        <f>IF(A9="","",IFERROR(VLOOKUP(A9,PRODUTOS!A:B,2,FALSE),""))</f>
        <v/>
      </c>
      <c r="C9" s="4" t="str">
        <f>IF(A9="","",IFERROR(VLOOKUP(A9,PRODUTOS!A:C,3,FALSE),""))</f>
        <v/>
      </c>
      <c r="D9" s="4" t="str">
        <f>IF(A9="","",IFERROR(VLOOKUP(A9,PRODUTOS!A:D,4,FALSE),""))</f>
        <v/>
      </c>
      <c r="E9" s="4" t="str">
        <f>IF(A9="","",SUMIF(ENTRADAS!B:B,A9,ENTRADAS!C:C))</f>
        <v/>
      </c>
      <c r="F9" s="4" t="str">
        <f>IF(A9="","",SUMIF('SAÍDAS'!B:B,A9,'SAÍDAS'!C:C))</f>
        <v/>
      </c>
      <c r="G9" s="4" t="str">
        <f t="shared" si="1"/>
        <v/>
      </c>
      <c r="H9" s="4" t="str">
        <f>IF(A9="","",IFERROR(VLOOKUP(A9,PRODUTOS!A:G,7,FALSE),""))</f>
        <v/>
      </c>
      <c r="I9" s="4" t="str">
        <f t="shared" si="2"/>
        <v/>
      </c>
      <c r="J9" s="4" t="str">
        <f>IF(A9="","",IFERROR(VLOOKUP(A9,PRODUTOS!A:E,5,FALSE),""))</f>
        <v/>
      </c>
      <c r="K9" s="4" t="str">
        <f t="shared" si="3"/>
        <v/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 t="str">
        <f>IF(PRODUTOS!A10="","",PRODUTOS!A10)</f>
        <v/>
      </c>
      <c r="B10" s="4" t="str">
        <f>IF(A10="","",IFERROR(VLOOKUP(A10,PRODUTOS!A:B,2,FALSE),""))</f>
        <v/>
      </c>
      <c r="C10" s="4" t="str">
        <f>IF(A10="","",IFERROR(VLOOKUP(A10,PRODUTOS!A:C,3,FALSE),""))</f>
        <v/>
      </c>
      <c r="D10" s="4" t="str">
        <f>IF(A10="","",IFERROR(VLOOKUP(A10,PRODUTOS!A:D,4,FALSE),""))</f>
        <v/>
      </c>
      <c r="E10" s="4" t="str">
        <f>IF(A10="","",SUMIF(ENTRADAS!B:B,A10,ENTRADAS!C:C))</f>
        <v/>
      </c>
      <c r="F10" s="4" t="str">
        <f>IF(A10="","",SUMIF('SAÍDAS'!B:B,A10,'SAÍDAS'!C:C))</f>
        <v/>
      </c>
      <c r="G10" s="4" t="str">
        <f t="shared" si="1"/>
        <v/>
      </c>
      <c r="H10" s="4" t="str">
        <f>IF(A10="","",IFERROR(VLOOKUP(A10,PRODUTOS!A:G,7,FALSE),""))</f>
        <v/>
      </c>
      <c r="I10" s="4" t="str">
        <f t="shared" si="2"/>
        <v/>
      </c>
      <c r="J10" s="4" t="str">
        <f>IF(A10="","",IFERROR(VLOOKUP(A10,PRODUTOS!A:E,5,FALSE),""))</f>
        <v/>
      </c>
      <c r="K10" s="4" t="str">
        <f t="shared" si="3"/>
        <v/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 t="str">
        <f>IF(PRODUTOS!A11="","",PRODUTOS!A11)</f>
        <v/>
      </c>
      <c r="B11" s="4" t="str">
        <f>IF(A11="","",IFERROR(VLOOKUP(A11,PRODUTOS!A:B,2,FALSE),""))</f>
        <v/>
      </c>
      <c r="C11" s="4" t="str">
        <f>IF(A11="","",IFERROR(VLOOKUP(A11,PRODUTOS!A:C,3,FALSE),""))</f>
        <v/>
      </c>
      <c r="D11" s="4" t="str">
        <f>IF(A11="","",IFERROR(VLOOKUP(A11,PRODUTOS!A:D,4,FALSE),""))</f>
        <v/>
      </c>
      <c r="E11" s="4" t="str">
        <f>IF(A11="","",SUMIF(ENTRADAS!B:B,A11,ENTRADAS!C:C))</f>
        <v/>
      </c>
      <c r="F11" s="4" t="str">
        <f>IF(A11="","",SUMIF('SAÍDAS'!B:B,A11,'SAÍDAS'!C:C))</f>
        <v/>
      </c>
      <c r="G11" s="4" t="str">
        <f t="shared" si="1"/>
        <v/>
      </c>
      <c r="H11" s="4" t="str">
        <f>IF(A11="","",IFERROR(VLOOKUP(A11,PRODUTOS!A:G,7,FALSE),""))</f>
        <v/>
      </c>
      <c r="I11" s="4" t="str">
        <f t="shared" si="2"/>
        <v/>
      </c>
      <c r="J11" s="4" t="str">
        <f>IF(A11="","",IFERROR(VLOOKUP(A11,PRODUTOS!A:E,5,FALSE),""))</f>
        <v/>
      </c>
      <c r="K11" s="4" t="str">
        <f t="shared" si="3"/>
        <v/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 t="str">
        <f>IF(PRODUTOS!A12="","",PRODUTOS!A12)</f>
        <v/>
      </c>
      <c r="B12" s="4" t="str">
        <f>IF(A12="","",IFERROR(VLOOKUP(A12,PRODUTOS!A:B,2,FALSE),""))</f>
        <v/>
      </c>
      <c r="C12" s="4" t="str">
        <f>IF(A12="","",IFERROR(VLOOKUP(A12,PRODUTOS!A:C,3,FALSE),""))</f>
        <v/>
      </c>
      <c r="D12" s="4" t="str">
        <f>IF(A12="","",IFERROR(VLOOKUP(A12,PRODUTOS!A:D,4,FALSE),""))</f>
        <v/>
      </c>
      <c r="E12" s="4" t="str">
        <f>IF(A12="","",SUMIF(ENTRADAS!B:B,A12,ENTRADAS!C:C))</f>
        <v/>
      </c>
      <c r="F12" s="4" t="str">
        <f>IF(A12="","",SUMIF('SAÍDAS'!B:B,A12,'SAÍDAS'!C:C))</f>
        <v/>
      </c>
      <c r="G12" s="4" t="str">
        <f t="shared" si="1"/>
        <v/>
      </c>
      <c r="H12" s="4" t="str">
        <f>IF(A12="","",IFERROR(VLOOKUP(A12,PRODUTOS!A:G,7,FALSE),""))</f>
        <v/>
      </c>
      <c r="I12" s="4" t="str">
        <f t="shared" si="2"/>
        <v/>
      </c>
      <c r="J12" s="4" t="str">
        <f>IF(A12="","",IFERROR(VLOOKUP(A12,PRODUTOS!A:E,5,FALSE),""))</f>
        <v/>
      </c>
      <c r="K12" s="4" t="str">
        <f t="shared" si="3"/>
        <v/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 t="str">
        <f>IF(PRODUTOS!A13="","",PRODUTOS!A13)</f>
        <v/>
      </c>
      <c r="B13" s="4" t="str">
        <f>IF(A13="","",IFERROR(VLOOKUP(A13,PRODUTOS!A:B,2,FALSE),""))</f>
        <v/>
      </c>
      <c r="C13" s="4" t="str">
        <f>IF(A13="","",IFERROR(VLOOKUP(A13,PRODUTOS!A:C,3,FALSE),""))</f>
        <v/>
      </c>
      <c r="D13" s="4" t="str">
        <f>IF(A13="","",IFERROR(VLOOKUP(A13,PRODUTOS!A:D,4,FALSE),""))</f>
        <v/>
      </c>
      <c r="E13" s="4" t="str">
        <f>IF(A13="","",SUMIF(ENTRADAS!B:B,A13,ENTRADAS!C:C))</f>
        <v/>
      </c>
      <c r="F13" s="4" t="str">
        <f>IF(A13="","",SUMIF('SAÍDAS'!B:B,A13,'SAÍDAS'!C:C))</f>
        <v/>
      </c>
      <c r="G13" s="4" t="str">
        <f t="shared" si="1"/>
        <v/>
      </c>
      <c r="H13" s="4" t="str">
        <f>IF(A13="","",IFERROR(VLOOKUP(A13,PRODUTOS!A:G,7,FALSE),""))</f>
        <v/>
      </c>
      <c r="I13" s="4" t="str">
        <f t="shared" si="2"/>
        <v/>
      </c>
      <c r="J13" s="4" t="str">
        <f>IF(A13="","",IFERROR(VLOOKUP(A13,PRODUTOS!A:E,5,FALSE),""))</f>
        <v/>
      </c>
      <c r="K13" s="4" t="str">
        <f t="shared" si="3"/>
        <v/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 t="str">
        <f>IF(PRODUTOS!A14="","",PRODUTOS!A14)</f>
        <v/>
      </c>
      <c r="B14" s="4" t="str">
        <f>IF(A14="","",IFERROR(VLOOKUP(A14,PRODUTOS!A:B,2,FALSE),""))</f>
        <v/>
      </c>
      <c r="C14" s="4" t="str">
        <f>IF(A14="","",IFERROR(VLOOKUP(A14,PRODUTOS!A:C,3,FALSE),""))</f>
        <v/>
      </c>
      <c r="D14" s="4" t="str">
        <f>IF(A14="","",IFERROR(VLOOKUP(A14,PRODUTOS!A:D,4,FALSE),""))</f>
        <v/>
      </c>
      <c r="E14" s="4" t="str">
        <f>IF(A14="","",SUMIF(ENTRADAS!B:B,A14,ENTRADAS!C:C))</f>
        <v/>
      </c>
      <c r="F14" s="4" t="str">
        <f>IF(A14="","",SUMIF('SAÍDAS'!B:B,A14,'SAÍDAS'!C:C))</f>
        <v/>
      </c>
      <c r="G14" s="4" t="str">
        <f t="shared" si="1"/>
        <v/>
      </c>
      <c r="H14" s="4" t="str">
        <f>IF(A14="","",IFERROR(VLOOKUP(A14,PRODUTOS!A:G,7,FALSE),""))</f>
        <v/>
      </c>
      <c r="I14" s="4" t="str">
        <f t="shared" si="2"/>
        <v/>
      </c>
      <c r="J14" s="4" t="str">
        <f>IF(A14="","",IFERROR(VLOOKUP(A14,PRODUTOS!A:E,5,FALSE),""))</f>
        <v/>
      </c>
      <c r="K14" s="4" t="str">
        <f t="shared" si="3"/>
        <v/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 t="str">
        <f>IF(PRODUTOS!A15="","",PRODUTOS!A15)</f>
        <v/>
      </c>
      <c r="B15" s="4" t="str">
        <f>IF(A15="","",IFERROR(VLOOKUP(A15,PRODUTOS!A:B,2,FALSE),""))</f>
        <v/>
      </c>
      <c r="C15" s="4" t="str">
        <f>IF(A15="","",IFERROR(VLOOKUP(A15,PRODUTOS!A:C,3,FALSE),""))</f>
        <v/>
      </c>
      <c r="D15" s="4" t="str">
        <f>IF(A15="","",IFERROR(VLOOKUP(A15,PRODUTOS!A:D,4,FALSE),""))</f>
        <v/>
      </c>
      <c r="E15" s="4" t="str">
        <f>IF(A15="","",SUMIF(ENTRADAS!B:B,A15,ENTRADAS!C:C))</f>
        <v/>
      </c>
      <c r="F15" s="4" t="str">
        <f>IF(A15="","",SUMIF('SAÍDAS'!B:B,A15,'SAÍDAS'!C:C))</f>
        <v/>
      </c>
      <c r="G15" s="4" t="str">
        <f t="shared" si="1"/>
        <v/>
      </c>
      <c r="H15" s="4" t="str">
        <f>IF(A15="","",IFERROR(VLOOKUP(A15,PRODUTOS!A:G,7,FALSE),""))</f>
        <v/>
      </c>
      <c r="I15" s="4" t="str">
        <f t="shared" si="2"/>
        <v/>
      </c>
      <c r="J15" s="4" t="str">
        <f>IF(A15="","",IFERROR(VLOOKUP(A15,PRODUTOS!A:E,5,FALSE),""))</f>
        <v/>
      </c>
      <c r="K15" s="4" t="str">
        <f t="shared" si="3"/>
        <v/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 t="str">
        <f>IF(PRODUTOS!A16="","",PRODUTOS!A16)</f>
        <v/>
      </c>
      <c r="B16" s="4" t="str">
        <f>IF(A16="","",IFERROR(VLOOKUP(A16,PRODUTOS!A:B,2,FALSE),""))</f>
        <v/>
      </c>
      <c r="C16" s="4" t="str">
        <f>IF(A16="","",IFERROR(VLOOKUP(A16,PRODUTOS!A:C,3,FALSE),""))</f>
        <v/>
      </c>
      <c r="D16" s="4" t="str">
        <f>IF(A16="","",IFERROR(VLOOKUP(A16,PRODUTOS!A:D,4,FALSE),""))</f>
        <v/>
      </c>
      <c r="E16" s="4" t="str">
        <f>IF(A16="","",SUMIF(ENTRADAS!B:B,A16,ENTRADAS!C:C))</f>
        <v/>
      </c>
      <c r="F16" s="4" t="str">
        <f>IF(A16="","",SUMIF('SAÍDAS'!B:B,A16,'SAÍDAS'!C:C))</f>
        <v/>
      </c>
      <c r="G16" s="4" t="str">
        <f t="shared" si="1"/>
        <v/>
      </c>
      <c r="H16" s="4" t="str">
        <f>IF(A16="","",IFERROR(VLOOKUP(A16,PRODUTOS!A:G,7,FALSE),""))</f>
        <v/>
      </c>
      <c r="I16" s="4" t="str">
        <f t="shared" si="2"/>
        <v/>
      </c>
      <c r="J16" s="4" t="str">
        <f>IF(A16="","",IFERROR(VLOOKUP(A16,PRODUTOS!A:E,5,FALSE),""))</f>
        <v/>
      </c>
      <c r="K16" s="4" t="str">
        <f t="shared" si="3"/>
        <v/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 t="str">
        <f>IF(PRODUTOS!A17="","",PRODUTOS!A17)</f>
        <v/>
      </c>
      <c r="B17" s="4" t="str">
        <f>IF(A17="","",IFERROR(VLOOKUP(A17,PRODUTOS!A:B,2,FALSE),""))</f>
        <v/>
      </c>
      <c r="C17" s="4" t="str">
        <f>IF(A17="","",IFERROR(VLOOKUP(A17,PRODUTOS!A:C,3,FALSE),""))</f>
        <v/>
      </c>
      <c r="D17" s="4" t="str">
        <f>IF(A17="","",IFERROR(VLOOKUP(A17,PRODUTOS!A:D,4,FALSE),""))</f>
        <v/>
      </c>
      <c r="E17" s="4" t="str">
        <f>IF(A17="","",SUMIF(ENTRADAS!B:B,A17,ENTRADAS!C:C))</f>
        <v/>
      </c>
      <c r="F17" s="4" t="str">
        <f>IF(A17="","",SUMIF('SAÍDAS'!B:B,A17,'SAÍDAS'!C:C))</f>
        <v/>
      </c>
      <c r="G17" s="4" t="str">
        <f t="shared" si="1"/>
        <v/>
      </c>
      <c r="H17" s="4" t="str">
        <f>IF(A17="","",IFERROR(VLOOKUP(A17,PRODUTOS!A:G,7,FALSE),""))</f>
        <v/>
      </c>
      <c r="I17" s="4" t="str">
        <f t="shared" si="2"/>
        <v/>
      </c>
      <c r="J17" s="4" t="str">
        <f>IF(A17="","",IFERROR(VLOOKUP(A17,PRODUTOS!A:E,5,FALSE),""))</f>
        <v/>
      </c>
      <c r="K17" s="4" t="str">
        <f t="shared" si="3"/>
        <v/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 t="str">
        <f>IF(PRODUTOS!A18="","",PRODUTOS!A18)</f>
        <v/>
      </c>
      <c r="B18" s="4" t="str">
        <f>IF(A18="","",IFERROR(VLOOKUP(A18,PRODUTOS!A:B,2,FALSE),""))</f>
        <v/>
      </c>
      <c r="C18" s="4" t="str">
        <f>IF(A18="","",IFERROR(VLOOKUP(A18,PRODUTOS!A:C,3,FALSE),""))</f>
        <v/>
      </c>
      <c r="D18" s="4" t="str">
        <f>IF(A18="","",IFERROR(VLOOKUP(A18,PRODUTOS!A:D,4,FALSE),""))</f>
        <v/>
      </c>
      <c r="E18" s="4" t="str">
        <f>IF(A18="","",SUMIF(ENTRADAS!B:B,A18,ENTRADAS!C:C))</f>
        <v/>
      </c>
      <c r="F18" s="4" t="str">
        <f>IF(A18="","",SUMIF('SAÍDAS'!B:B,A18,'SAÍDAS'!C:C))</f>
        <v/>
      </c>
      <c r="G18" s="4" t="str">
        <f t="shared" si="1"/>
        <v/>
      </c>
      <c r="H18" s="4" t="str">
        <f>IF(A18="","",IFERROR(VLOOKUP(A18,PRODUTOS!A:G,7,FALSE),""))</f>
        <v/>
      </c>
      <c r="I18" s="4" t="str">
        <f t="shared" si="2"/>
        <v/>
      </c>
      <c r="J18" s="4" t="str">
        <f>IF(A18="","",IFERROR(VLOOKUP(A18,PRODUTOS!A:E,5,FALSE),""))</f>
        <v/>
      </c>
      <c r="K18" s="4" t="str">
        <f t="shared" si="3"/>
        <v/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 t="str">
        <f>IF(PRODUTOS!A19="","",PRODUTOS!A19)</f>
        <v/>
      </c>
      <c r="B19" s="4" t="str">
        <f>IF(A19="","",IFERROR(VLOOKUP(A19,PRODUTOS!A:B,2,FALSE),""))</f>
        <v/>
      </c>
      <c r="C19" s="4" t="str">
        <f>IF(A19="","",IFERROR(VLOOKUP(A19,PRODUTOS!A:C,3,FALSE),""))</f>
        <v/>
      </c>
      <c r="D19" s="4" t="str">
        <f>IF(A19="","",IFERROR(VLOOKUP(A19,PRODUTOS!A:D,4,FALSE),""))</f>
        <v/>
      </c>
      <c r="E19" s="4" t="str">
        <f>IF(A19="","",SUMIF(ENTRADAS!B:B,A19,ENTRADAS!C:C))</f>
        <v/>
      </c>
      <c r="F19" s="4" t="str">
        <f>IF(A19="","",SUMIF('SAÍDAS'!B:B,A19,'SAÍDAS'!C:C))</f>
        <v/>
      </c>
      <c r="G19" s="4" t="str">
        <f t="shared" si="1"/>
        <v/>
      </c>
      <c r="H19" s="4" t="str">
        <f>IF(A19="","",IFERROR(VLOOKUP(A19,PRODUTOS!A:G,7,FALSE),""))</f>
        <v/>
      </c>
      <c r="I19" s="4" t="str">
        <f t="shared" si="2"/>
        <v/>
      </c>
      <c r="J19" s="4" t="str">
        <f>IF(A19="","",IFERROR(VLOOKUP(A19,PRODUTOS!A:E,5,FALSE),""))</f>
        <v/>
      </c>
      <c r="K19" s="4" t="str">
        <f t="shared" si="3"/>
        <v/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 t="str">
        <f>IF(PRODUTOS!A20="","",PRODUTOS!A20)</f>
        <v/>
      </c>
      <c r="B20" s="4" t="str">
        <f>IF(A20="","",IFERROR(VLOOKUP(A20,PRODUTOS!A:B,2,FALSE),""))</f>
        <v/>
      </c>
      <c r="C20" s="4" t="str">
        <f>IF(A20="","",IFERROR(VLOOKUP(A20,PRODUTOS!A:C,3,FALSE),""))</f>
        <v/>
      </c>
      <c r="D20" s="4" t="str">
        <f>IF(A20="","",IFERROR(VLOOKUP(A20,PRODUTOS!A:D,4,FALSE),""))</f>
        <v/>
      </c>
      <c r="E20" s="4" t="str">
        <f>IF(A20="","",SUMIF(ENTRADAS!B:B,A20,ENTRADAS!C:C))</f>
        <v/>
      </c>
      <c r="F20" s="4" t="str">
        <f>IF(A20="","",SUMIF('SAÍDAS'!B:B,A20,'SAÍDAS'!C:C))</f>
        <v/>
      </c>
      <c r="G20" s="4" t="str">
        <f t="shared" si="1"/>
        <v/>
      </c>
      <c r="H20" s="4" t="str">
        <f>IF(A20="","",IFERROR(VLOOKUP(A20,PRODUTOS!A:G,7,FALSE),""))</f>
        <v/>
      </c>
      <c r="I20" s="4" t="str">
        <f t="shared" si="2"/>
        <v/>
      </c>
      <c r="J20" s="4" t="str">
        <f>IF(A20="","",IFERROR(VLOOKUP(A20,PRODUTOS!A:E,5,FALSE),""))</f>
        <v/>
      </c>
      <c r="K20" s="4" t="str">
        <f t="shared" si="3"/>
        <v/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 t="str">
        <f>IF(PRODUTOS!A21="","",PRODUTOS!A21)</f>
        <v/>
      </c>
      <c r="B21" s="4" t="str">
        <f>IF(A21="","",IFERROR(VLOOKUP(A21,PRODUTOS!A:B,2,FALSE),""))</f>
        <v/>
      </c>
      <c r="C21" s="4" t="str">
        <f>IF(A21="","",IFERROR(VLOOKUP(A21,PRODUTOS!A:C,3,FALSE),""))</f>
        <v/>
      </c>
      <c r="D21" s="4" t="str">
        <f>IF(A21="","",IFERROR(VLOOKUP(A21,PRODUTOS!A:D,4,FALSE),""))</f>
        <v/>
      </c>
      <c r="E21" s="4" t="str">
        <f>IF(A21="","",SUMIF(ENTRADAS!B:B,A21,ENTRADAS!C:C))</f>
        <v/>
      </c>
      <c r="F21" s="4" t="str">
        <f>IF(A21="","",SUMIF('SAÍDAS'!B:B,A21,'SAÍDAS'!C:C))</f>
        <v/>
      </c>
      <c r="G21" s="4" t="str">
        <f t="shared" si="1"/>
        <v/>
      </c>
      <c r="H21" s="4" t="str">
        <f>IF(A21="","",IFERROR(VLOOKUP(A21,PRODUTOS!A:G,7,FALSE),""))</f>
        <v/>
      </c>
      <c r="I21" s="4" t="str">
        <f t="shared" si="2"/>
        <v/>
      </c>
      <c r="J21" s="4" t="str">
        <f>IF(A21="","",IFERROR(VLOOKUP(A21,PRODUTOS!A:E,5,FALSE),""))</f>
        <v/>
      </c>
      <c r="K21" s="4" t="str">
        <f t="shared" si="3"/>
        <v/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 t="str">
        <f>IF(PRODUTOS!A22="","",PRODUTOS!A22)</f>
        <v/>
      </c>
      <c r="B22" s="4" t="str">
        <f>IF(A22="","",IFERROR(VLOOKUP(A22,PRODUTOS!A:B,2,FALSE),""))</f>
        <v/>
      </c>
      <c r="C22" s="4" t="str">
        <f>IF(A22="","",IFERROR(VLOOKUP(A22,PRODUTOS!A:C,3,FALSE),""))</f>
        <v/>
      </c>
      <c r="D22" s="4" t="str">
        <f>IF(A22="","",IFERROR(VLOOKUP(A22,PRODUTOS!A:D,4,FALSE),""))</f>
        <v/>
      </c>
      <c r="E22" s="4" t="str">
        <f>IF(A22="","",SUMIF(ENTRADAS!B:B,A22,ENTRADAS!C:C))</f>
        <v/>
      </c>
      <c r="F22" s="4" t="str">
        <f>IF(A22="","",SUMIF('SAÍDAS'!B:B,A22,'SAÍDAS'!C:C))</f>
        <v/>
      </c>
      <c r="G22" s="4" t="str">
        <f t="shared" si="1"/>
        <v/>
      </c>
      <c r="H22" s="4" t="str">
        <f>IF(A22="","",IFERROR(VLOOKUP(A22,PRODUTOS!A:G,7,FALSE),""))</f>
        <v/>
      </c>
      <c r="I22" s="4" t="str">
        <f t="shared" si="2"/>
        <v/>
      </c>
      <c r="J22" s="4" t="str">
        <f>IF(A22="","",IFERROR(VLOOKUP(A22,PRODUTOS!A:E,5,FALSE),""))</f>
        <v/>
      </c>
      <c r="K22" s="4" t="str">
        <f t="shared" si="3"/>
        <v/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 t="str">
        <f>IF(PRODUTOS!A23="","",PRODUTOS!A23)</f>
        <v/>
      </c>
      <c r="B23" s="4" t="str">
        <f>IF(A23="","",IFERROR(VLOOKUP(A23,PRODUTOS!A:B,2,FALSE),""))</f>
        <v/>
      </c>
      <c r="C23" s="4" t="str">
        <f>IF(A23="","",IFERROR(VLOOKUP(A23,PRODUTOS!A:C,3,FALSE),""))</f>
        <v/>
      </c>
      <c r="D23" s="4"/>
      <c r="E23" s="4" t="str">
        <f>IF(A23="","",SUMIF(ENTRADAS!B:B,A23,ENTRADAS!C:C))</f>
        <v/>
      </c>
      <c r="F23" s="4" t="str">
        <f>IF(A23="","",SUMIF('SAÍDAS'!B:B,A23,'SAÍDAS'!C:C))</f>
        <v/>
      </c>
      <c r="G23" s="4" t="str">
        <f t="shared" si="1"/>
        <v/>
      </c>
      <c r="H23" s="4" t="str">
        <f>IF(A23="","",IFERROR(VLOOKUP(A23,PRODUTOS!A:G,7,FALSE),""))</f>
        <v/>
      </c>
      <c r="I23" s="4" t="str">
        <f t="shared" si="2"/>
        <v/>
      </c>
      <c r="J23" s="4" t="str">
        <f>IF(A23="","",IFERROR(VLOOKUP(A23,PRODUTOS!A:E,5,FALSE),""))</f>
        <v/>
      </c>
      <c r="K23" s="4" t="str">
        <f t="shared" si="3"/>
        <v/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 t="str">
        <f>IF(PRODUTOS!A24="","",PRODUTOS!A24)</f>
        <v/>
      </c>
      <c r="B24" s="4" t="str">
        <f>IF(A24="","",IFERROR(VLOOKUP(A24,PRODUTOS!A:B,2,FALSE),""))</f>
        <v/>
      </c>
      <c r="C24" s="4" t="str">
        <f>IF(A24="","",IFERROR(VLOOKUP(A24,PRODUTOS!A:C,3,FALSE),""))</f>
        <v/>
      </c>
      <c r="D24" s="4"/>
      <c r="E24" s="4" t="str">
        <f>IF(A24="","",SUMIF(ENTRADAS!B:B,A24,ENTRADAS!C:C))</f>
        <v/>
      </c>
      <c r="F24" s="4" t="str">
        <f>IF(A24="","",SUMIF('SAÍDAS'!B:B,A24,'SAÍDAS'!C:C))</f>
        <v/>
      </c>
      <c r="G24" s="4" t="str">
        <f t="shared" si="1"/>
        <v/>
      </c>
      <c r="H24" s="4" t="str">
        <f>IF(A24="","",IFERROR(VLOOKUP(A24,PRODUTOS!A:G,7,FALSE),""))</f>
        <v/>
      </c>
      <c r="I24" s="4" t="str">
        <f t="shared" si="2"/>
        <v/>
      </c>
      <c r="J24" s="4" t="str">
        <f>IF(A24="","",IFERROR(VLOOKUP(A24,PRODUTOS!A:E,5,FALSE),""))</f>
        <v/>
      </c>
      <c r="K24" s="4" t="str">
        <f t="shared" si="3"/>
        <v/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 t="str">
        <f>IF(PRODUTOS!A25="","",PRODUTOS!A25)</f>
        <v/>
      </c>
      <c r="B25" s="4" t="str">
        <f>IF(A25="","",IFERROR(VLOOKUP(A25,PRODUTOS!A:B,2,FALSE),""))</f>
        <v/>
      </c>
      <c r="C25" s="4" t="str">
        <f>IF(A25="","",IFERROR(VLOOKUP(A25,PRODUTOS!A:C,3,FALSE),""))</f>
        <v/>
      </c>
      <c r="D25" s="4"/>
      <c r="E25" s="4" t="str">
        <f>IF(A25="","",SUMIF(ENTRADAS!B:B,A25,ENTRADAS!C:C))</f>
        <v/>
      </c>
      <c r="F25" s="4" t="str">
        <f>IF(A25="","",SUMIF('SAÍDAS'!B:B,A25,'SAÍDAS'!C:C))</f>
        <v/>
      </c>
      <c r="G25" s="4" t="str">
        <f t="shared" si="1"/>
        <v/>
      </c>
      <c r="H25" s="4" t="str">
        <f>IF(A25="","",IFERROR(VLOOKUP(A25,PRODUTOS!A:G,7,FALSE),""))</f>
        <v/>
      </c>
      <c r="I25" s="4" t="str">
        <f t="shared" si="2"/>
        <v/>
      </c>
      <c r="J25" s="4" t="str">
        <f>IF(A25="","",IFERROR(VLOOKUP(A25,PRODUTOS!A:E,5,FALSE),""))</f>
        <v/>
      </c>
      <c r="K25" s="4" t="str">
        <f t="shared" si="3"/>
        <v/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 t="str">
        <f>IF(PRODUTOS!A26="","",PRODUTOS!A26)</f>
        <v/>
      </c>
      <c r="B26" s="4" t="str">
        <f>IF(A26="","",IFERROR(VLOOKUP(A26,PRODUTOS!A:B,2,FALSE),""))</f>
        <v/>
      </c>
      <c r="C26" s="4" t="str">
        <f>IF(A26="","",IFERROR(VLOOKUP(A26,PRODUTOS!A:C,3,FALSE),""))</f>
        <v/>
      </c>
      <c r="D26" s="4"/>
      <c r="E26" s="4" t="str">
        <f>IF(A26="","",SUMIF(ENTRADAS!B:B,A26,ENTRADAS!C:C))</f>
        <v/>
      </c>
      <c r="F26" s="4" t="str">
        <f>IF(A26="","",SUMIF('SAÍDAS'!B:B,A26,'SAÍDAS'!C:C))</f>
        <v/>
      </c>
      <c r="G26" s="4" t="str">
        <f t="shared" si="1"/>
        <v/>
      </c>
      <c r="H26" s="4" t="str">
        <f>IF(A26="","",IFERROR(VLOOKUP(A26,PRODUTOS!A:G,7,FALSE),""))</f>
        <v/>
      </c>
      <c r="I26" s="4" t="str">
        <f t="shared" si="2"/>
        <v/>
      </c>
      <c r="J26" s="4" t="str">
        <f>IF(A26="","",IFERROR(VLOOKUP(A26,PRODUTOS!A:E,5,FALSE),""))</f>
        <v/>
      </c>
      <c r="K26" s="4" t="str">
        <f t="shared" si="3"/>
        <v/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 t="str">
        <f>IF(PRODUTOS!A27="","",PRODUTOS!A27)</f>
        <v/>
      </c>
      <c r="B27" s="4" t="str">
        <f>IF(A27="","",IFERROR(VLOOKUP(A27,PRODUTOS!A:B,2,FALSE),""))</f>
        <v/>
      </c>
      <c r="C27" s="4" t="str">
        <f>IF(A27="","",IFERROR(VLOOKUP(A27,PRODUTOS!A:C,3,FALSE),""))</f>
        <v/>
      </c>
      <c r="D27" s="4"/>
      <c r="E27" s="4" t="str">
        <f>IF(A27="","",SUMIF(ENTRADAS!B:B,A27,ENTRADAS!C:C))</f>
        <v/>
      </c>
      <c r="F27" s="4" t="str">
        <f>IF(A27="","",SUMIF('SAÍDAS'!B:B,A27,'SAÍDAS'!C:C))</f>
        <v/>
      </c>
      <c r="G27" s="4" t="str">
        <f t="shared" si="1"/>
        <v/>
      </c>
      <c r="H27" s="4" t="str">
        <f>IF(A27="","",IFERROR(VLOOKUP(A27,PRODUTOS!A:G,7,FALSE),""))</f>
        <v/>
      </c>
      <c r="I27" s="4" t="str">
        <f t="shared" si="2"/>
        <v/>
      </c>
      <c r="J27" s="4" t="str">
        <f>IF(A27="","",IFERROR(VLOOKUP(A27,PRODUTOS!A:E,5,FALSE),""))</f>
        <v/>
      </c>
      <c r="K27" s="4" t="str">
        <f t="shared" si="3"/>
        <v/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 t="str">
        <f>IF(PRODUTOS!A28="","",PRODUTOS!A28)</f>
        <v/>
      </c>
      <c r="B28" s="4" t="str">
        <f>IF(A28="","",IFERROR(VLOOKUP(A28,PRODUTOS!A:B,2,FALSE),""))</f>
        <v/>
      </c>
      <c r="C28" s="4" t="str">
        <f>IF(A28="","",IFERROR(VLOOKUP(A28,PRODUTOS!A:C,3,FALSE),""))</f>
        <v/>
      </c>
      <c r="D28" s="4"/>
      <c r="E28" s="4" t="str">
        <f>IF(A28="","",SUMIF(ENTRADAS!B:B,A28,ENTRADAS!C:C))</f>
        <v/>
      </c>
      <c r="F28" s="4" t="str">
        <f>IF(A28="","",SUMIF('SAÍDAS'!B:B,A28,'SAÍDAS'!C:C))</f>
        <v/>
      </c>
      <c r="G28" s="4" t="str">
        <f t="shared" si="1"/>
        <v/>
      </c>
      <c r="H28" s="4" t="str">
        <f>IF(A28="","",IFERROR(VLOOKUP(A28,PRODUTOS!A:G,7,FALSE),""))</f>
        <v/>
      </c>
      <c r="I28" s="4" t="str">
        <f t="shared" si="2"/>
        <v/>
      </c>
      <c r="J28" s="4" t="str">
        <f>IF(A28="","",IFERROR(VLOOKUP(A28,PRODUTOS!A:E,5,FALSE),""))</f>
        <v/>
      </c>
      <c r="K28" s="4" t="str">
        <f t="shared" si="3"/>
        <v/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 t="str">
        <f>IF(PRODUTOS!A29="","",PRODUTOS!A29)</f>
        <v/>
      </c>
      <c r="B29" s="4" t="str">
        <f>IF(A29="","",IFERROR(VLOOKUP(A29,PRODUTOS!A:B,2,FALSE),""))</f>
        <v/>
      </c>
      <c r="C29" s="4" t="str">
        <f>IF(A29="","",IFERROR(VLOOKUP(A29,PRODUTOS!A:C,3,FALSE),""))</f>
        <v/>
      </c>
      <c r="D29" s="4"/>
      <c r="E29" s="4" t="str">
        <f>IF(A29="","",SUMIF(ENTRADAS!B:B,A29,ENTRADAS!C:C))</f>
        <v/>
      </c>
      <c r="F29" s="4" t="str">
        <f>IF(A29="","",SUMIF('SAÍDAS'!B:B,A29,'SAÍDAS'!C:C))</f>
        <v/>
      </c>
      <c r="G29" s="4" t="str">
        <f t="shared" si="1"/>
        <v/>
      </c>
      <c r="H29" s="4" t="str">
        <f>IF(A29="","",IFERROR(VLOOKUP(A29,PRODUTOS!A:G,7,FALSE),""))</f>
        <v/>
      </c>
      <c r="I29" s="4" t="str">
        <f t="shared" si="2"/>
        <v/>
      </c>
      <c r="J29" s="4" t="str">
        <f>IF(A29="","",IFERROR(VLOOKUP(A29,PRODUTOS!A:E,5,FALSE),""))</f>
        <v/>
      </c>
      <c r="K29" s="4" t="str">
        <f t="shared" si="3"/>
        <v/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 t="str">
        <f>IF(PRODUTOS!A30="","",PRODUTOS!A30)</f>
        <v/>
      </c>
      <c r="B30" s="4" t="str">
        <f>IF(A30="","",IFERROR(VLOOKUP(A30,PRODUTOS!A:B,2,FALSE),""))</f>
        <v/>
      </c>
      <c r="C30" s="4" t="str">
        <f>IF(A30="","",IFERROR(VLOOKUP(A30,PRODUTOS!A:C,3,FALSE),""))</f>
        <v/>
      </c>
      <c r="D30" s="4"/>
      <c r="E30" s="4" t="str">
        <f>IF(A30="","",SUMIF(ENTRADAS!B:B,A30,ENTRADAS!C:C))</f>
        <v/>
      </c>
      <c r="F30" s="4" t="str">
        <f>IF(A30="","",SUMIF('SAÍDAS'!B:B,A30,'SAÍDAS'!C:C))</f>
        <v/>
      </c>
      <c r="G30" s="4" t="str">
        <f t="shared" si="1"/>
        <v/>
      </c>
      <c r="H30" s="4" t="str">
        <f>IF(A30="","",IFERROR(VLOOKUP(A30,PRODUTOS!A:G,7,FALSE),""))</f>
        <v/>
      </c>
      <c r="I30" s="4" t="str">
        <f t="shared" si="2"/>
        <v/>
      </c>
      <c r="J30" s="4" t="str">
        <f>IF(A30="","",IFERROR(VLOOKUP(A30,PRODUTOS!A:E,5,FALSE),""))</f>
        <v/>
      </c>
      <c r="K30" s="4" t="str">
        <f t="shared" si="3"/>
        <v/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 t="str">
        <f>IF(PRODUTOS!A31="","",PRODUTOS!A31)</f>
        <v/>
      </c>
      <c r="B31" s="4" t="str">
        <f>IF(A31="","",IFERROR(VLOOKUP(A31,PRODUTOS!A:B,2,FALSE),""))</f>
        <v/>
      </c>
      <c r="C31" s="4" t="str">
        <f>IF(A31="","",IFERROR(VLOOKUP(A31,PRODUTOS!A:C,3,FALSE),""))</f>
        <v/>
      </c>
      <c r="D31" s="4"/>
      <c r="E31" s="4" t="str">
        <f>IF(A31="","",SUMIF(ENTRADAS!B:B,A31,ENTRADAS!C:C))</f>
        <v/>
      </c>
      <c r="F31" s="4" t="str">
        <f>IF(A31="","",SUMIF('SAÍDAS'!B:B,A31,'SAÍDAS'!C:C))</f>
        <v/>
      </c>
      <c r="G31" s="4" t="str">
        <f t="shared" si="1"/>
        <v/>
      </c>
      <c r="H31" s="4"/>
      <c r="I31" s="4" t="str">
        <f t="shared" si="2"/>
        <v/>
      </c>
      <c r="J31" s="4" t="str">
        <f>IF(A31="","",IFERROR(VLOOKUP(A31,PRODUTOS!A:E,5,FALSE),""))</f>
        <v/>
      </c>
      <c r="K31" s="4" t="str">
        <f t="shared" si="3"/>
        <v/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 t="str">
        <f>IF(PRODUTOS!A32="","",PRODUTOS!A32)</f>
        <v/>
      </c>
      <c r="B32" s="4" t="str">
        <f>IF(A32="","",IFERROR(VLOOKUP(A32,PRODUTOS!A:B,2,FALSE),""))</f>
        <v/>
      </c>
      <c r="C32" s="4" t="str">
        <f>IF(A32="","",IFERROR(VLOOKUP(A32,PRODUTOS!A:C,3,FALSE),""))</f>
        <v/>
      </c>
      <c r="D32" s="4"/>
      <c r="E32" s="4" t="str">
        <f>IF(A32="","",SUMIF(ENTRADAS!B:B,A32,ENTRADAS!C:C))</f>
        <v/>
      </c>
      <c r="F32" s="4" t="str">
        <f>IF(A32="","",SUMIF('SAÍDAS'!B:B,A32,'SAÍDAS'!C:C))</f>
        <v/>
      </c>
      <c r="G32" s="4" t="str">
        <f t="shared" si="1"/>
        <v/>
      </c>
      <c r="H32" s="4"/>
      <c r="I32" s="4" t="str">
        <f t="shared" si="2"/>
        <v/>
      </c>
      <c r="J32" s="4" t="str">
        <f>IF(A32="","",IFERROR(VLOOKUP(A32,PRODUTOS!A:E,5,FALSE),""))</f>
        <v/>
      </c>
      <c r="K32" s="4" t="str">
        <f t="shared" si="3"/>
        <v/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 t="str">
        <f>IF(PRODUTOS!A33="","",PRODUTOS!A33)</f>
        <v/>
      </c>
      <c r="B33" s="4" t="str">
        <f>IF(A33="","",IFERROR(VLOOKUP(A33,PRODUTOS!A:B,2,FALSE),""))</f>
        <v/>
      </c>
      <c r="C33" s="4" t="str">
        <f>IF(A33="","",IFERROR(VLOOKUP(A33,PRODUTOS!A:C,3,FALSE),""))</f>
        <v/>
      </c>
      <c r="D33" s="4"/>
      <c r="E33" s="4" t="str">
        <f>IF(A33="","",SUMIF(ENTRADAS!B:B,A33,ENTRADAS!C:C))</f>
        <v/>
      </c>
      <c r="F33" s="4" t="str">
        <f>IF(A33="","",SUMIF('SAÍDAS'!B:B,A33,'SAÍDAS'!C:C))</f>
        <v/>
      </c>
      <c r="G33" s="4" t="str">
        <f t="shared" si="1"/>
        <v/>
      </c>
      <c r="H33" s="4"/>
      <c r="I33" s="4" t="str">
        <f t="shared" si="2"/>
        <v/>
      </c>
      <c r="J33" s="4" t="str">
        <f>IF(A33="","",IFERROR(VLOOKUP(A33,PRODUTOS!A:E,5,FALSE),""))</f>
        <v/>
      </c>
      <c r="K33" s="4" t="str">
        <f t="shared" si="3"/>
        <v/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 t="str">
        <f>IF(PRODUTOS!A34="","",PRODUTOS!A34)</f>
        <v/>
      </c>
      <c r="B34" s="4" t="str">
        <f>IF(A34="","",IFERROR(VLOOKUP(A34,PRODUTOS!A:B,2,FALSE),""))</f>
        <v/>
      </c>
      <c r="C34" s="4" t="str">
        <f>IF(A34="","",IFERROR(VLOOKUP(A34,PRODUTOS!A:C,3,FALSE),""))</f>
        <v/>
      </c>
      <c r="D34" s="4"/>
      <c r="E34" s="4"/>
      <c r="F34" s="4" t="str">
        <f>IF(A34="","",SUMIF('SAÍDAS'!B:B,A34,'SAÍDAS'!C:C))</f>
        <v/>
      </c>
      <c r="G34" s="4" t="str">
        <f t="shared" si="1"/>
        <v/>
      </c>
      <c r="H34" s="4"/>
      <c r="I34" s="4" t="str">
        <f t="shared" si="2"/>
        <v/>
      </c>
      <c r="J34" s="4" t="str">
        <f>IF(A34="","",IFERROR(VLOOKUP(A34,PRODUTOS!A:E,5,FALSE),""))</f>
        <v/>
      </c>
      <c r="K34" s="4" t="str">
        <f t="shared" si="3"/>
        <v/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 t="str">
        <f>IF(A35="","",IFERROR(VLOOKUP(A35,PRODUTOS!A:B,2,FALSE),""))</f>
        <v/>
      </c>
      <c r="C35" s="4" t="str">
        <f>IF(A35="","",IFERROR(VLOOKUP(A35,PRODUTOS!A:C,3,FALSE),""))</f>
        <v/>
      </c>
      <c r="D35" s="4"/>
      <c r="E35" s="4"/>
      <c r="F35" s="4" t="str">
        <f>IF(A35="","",SUMIF('SAÍDAS'!B:B,A35,'SAÍDAS'!C:C))</f>
        <v/>
      </c>
      <c r="G35" s="4" t="str">
        <f t="shared" si="1"/>
        <v/>
      </c>
      <c r="H35" s="4"/>
      <c r="I35" s="4" t="str">
        <f t="shared" si="2"/>
        <v/>
      </c>
      <c r="J35" s="4" t="str">
        <f>IF(A35="","",IFERROR(VLOOKUP(A35,PRODUTOS!A:E,5,FALSE),""))</f>
        <v/>
      </c>
      <c r="K35" s="4" t="str">
        <f t="shared" si="3"/>
        <v/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 t="str">
        <f>IF(A36="","",IFERROR(VLOOKUP(A36,PRODUTOS!A:B,2,FALSE),""))</f>
        <v/>
      </c>
      <c r="C36" s="4" t="str">
        <f>IF(A36="","",IFERROR(VLOOKUP(A36,PRODUTOS!A:C,3,FALSE),""))</f>
        <v/>
      </c>
      <c r="D36" s="4"/>
      <c r="E36" s="4"/>
      <c r="F36" s="4" t="str">
        <f>IF(A36="","",SUMIF('SAÍDAS'!B:B,A36,'SAÍDAS'!C:C))</f>
        <v/>
      </c>
      <c r="G36" s="4" t="str">
        <f t="shared" si="1"/>
        <v/>
      </c>
      <c r="H36" s="4"/>
      <c r="I36" s="4" t="str">
        <f t="shared" si="2"/>
        <v/>
      </c>
      <c r="J36" s="4" t="str">
        <f>IF(A36="","",IFERROR(VLOOKUP(A36,PRODUTOS!A:E,5,FALSE),""))</f>
        <v/>
      </c>
      <c r="K36" s="4" t="str">
        <f t="shared" si="3"/>
        <v/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 t="str">
        <f>IF(A37="","",IFERROR(VLOOKUP(A37,PRODUTOS!A:B,2,FALSE),""))</f>
        <v/>
      </c>
      <c r="C37" s="4" t="str">
        <f>IF(A37="","",IFERROR(VLOOKUP(A37,PRODUTOS!A:C,3,FALSE),""))</f>
        <v/>
      </c>
      <c r="D37" s="4"/>
      <c r="E37" s="4"/>
      <c r="F37" s="4" t="str">
        <f>IF(A37="","",SUMIF('SAÍDAS'!B:B,A37,'SAÍDAS'!C:C))</f>
        <v/>
      </c>
      <c r="G37" s="4" t="str">
        <f t="shared" si="1"/>
        <v/>
      </c>
      <c r="H37" s="4"/>
      <c r="I37" s="4" t="str">
        <f t="shared" si="2"/>
        <v/>
      </c>
      <c r="J37" s="4" t="str">
        <f>IF(A37="","",IFERROR(VLOOKUP(A37,PRODUTOS!A:E,5,FALSE),""))</f>
        <v/>
      </c>
      <c r="K37" s="4" t="str">
        <f t="shared" si="3"/>
        <v/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 t="str">
        <f>IF(A38="","",IFERROR(VLOOKUP(A38,PRODUTOS!A:B,2,FALSE),""))</f>
        <v/>
      </c>
      <c r="C38" s="4" t="str">
        <f>IF(A38="","",IFERROR(VLOOKUP(A38,PRODUTOS!A:C,3,FALSE),""))</f>
        <v/>
      </c>
      <c r="D38" s="4"/>
      <c r="E38" s="4"/>
      <c r="F38" s="4" t="str">
        <f>IF(A38="","",SUMIF('SAÍDAS'!B:B,A38,'SAÍDAS'!C:C))</f>
        <v/>
      </c>
      <c r="G38" s="4" t="str">
        <f t="shared" si="1"/>
        <v/>
      </c>
      <c r="H38" s="4"/>
      <c r="I38" s="4" t="str">
        <f t="shared" si="2"/>
        <v/>
      </c>
      <c r="J38" s="4" t="str">
        <f>IF(A38="","",IFERROR(VLOOKUP(A38,PRODUTOS!A:E,5,FALSE),""))</f>
        <v/>
      </c>
      <c r="K38" s="4" t="str">
        <f t="shared" si="3"/>
        <v/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 t="str">
        <f>IF(A39="","",IFERROR(VLOOKUP(A39,PRODUTOS!A:B,2,FALSE),""))</f>
        <v/>
      </c>
      <c r="C39" s="4" t="str">
        <f>IF(A39="","",IFERROR(VLOOKUP(A39,PRODUTOS!A:C,3,FALSE),""))</f>
        <v/>
      </c>
      <c r="D39" s="4"/>
      <c r="E39" s="4"/>
      <c r="F39" s="4" t="str">
        <f>IF(A39="","",SUMIF('SAÍDAS'!B:B,A39,'SAÍDAS'!C:C))</f>
        <v/>
      </c>
      <c r="G39" s="4" t="str">
        <f t="shared" si="1"/>
        <v/>
      </c>
      <c r="H39" s="4"/>
      <c r="I39" s="4" t="str">
        <f t="shared" si="2"/>
        <v/>
      </c>
      <c r="J39" s="4" t="str">
        <f>IF(A39="","",IFERROR(VLOOKUP(A39,PRODUTOS!A:E,5,FALSE),""))</f>
        <v/>
      </c>
      <c r="K39" s="4" t="str">
        <f t="shared" si="3"/>
        <v/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 t="str">
        <f>IF(A40="","",IFERROR(VLOOKUP(A40,PRODUTOS!A:B,2,FALSE),""))</f>
        <v/>
      </c>
      <c r="C40" s="4" t="str">
        <f>IF(A40="","",IFERROR(VLOOKUP(A40,PRODUTOS!A:C,3,FALSE),""))</f>
        <v/>
      </c>
      <c r="D40" s="4"/>
      <c r="E40" s="4"/>
      <c r="F40" s="4" t="str">
        <f>IF(A40="","",SUMIF('SAÍDAS'!B:B,A40,'SAÍDAS'!C:C))</f>
        <v/>
      </c>
      <c r="G40" s="4"/>
      <c r="H40" s="4"/>
      <c r="I40" s="4" t="str">
        <f t="shared" si="2"/>
        <v/>
      </c>
      <c r="J40" s="4" t="str">
        <f>IF(A40="","",IFERROR(VLOOKUP(A40,PRODUTOS!A:E,5,FALSE),""))</f>
        <v/>
      </c>
      <c r="K40" s="4" t="str">
        <f t="shared" si="3"/>
        <v/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 t="str">
        <f>IF(A41="","",IFERROR(VLOOKUP(A41,PRODUTOS!A:B,2,FALSE),""))</f>
        <v/>
      </c>
      <c r="C41" s="4" t="str">
        <f>IF(A41="","",IFERROR(VLOOKUP(A41,PRODUTOS!A:C,3,FALSE),""))</f>
        <v/>
      </c>
      <c r="D41" s="4"/>
      <c r="E41" s="4"/>
      <c r="F41" s="4" t="str">
        <f>IF(A41="","",SUMIF('SAÍDAS'!B:B,A41,'SAÍDAS'!C:C))</f>
        <v/>
      </c>
      <c r="G41" s="4"/>
      <c r="H41" s="4"/>
      <c r="I41" s="4" t="str">
        <f t="shared" si="2"/>
        <v/>
      </c>
      <c r="J41" s="4" t="str">
        <f>IF(A41="","",IFERROR(VLOOKUP(A41,PRODUTOS!A:E,5,FALSE),""))</f>
        <v/>
      </c>
      <c r="K41" s="4" t="str">
        <f t="shared" si="3"/>
        <v/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 t="str">
        <f>IF(A42="","",IFERROR(VLOOKUP(A42,PRODUTOS!A:B,2,FALSE),""))</f>
        <v/>
      </c>
      <c r="C42" s="4" t="str">
        <f>IF(A42="","",IFERROR(VLOOKUP(A42,PRODUTOS!A:C,3,FALSE),""))</f>
        <v/>
      </c>
      <c r="D42" s="4"/>
      <c r="E42" s="4"/>
      <c r="F42" s="4" t="str">
        <f>IF(A42="","",SUMIF('SAÍDAS'!B:B,A42,'SAÍDAS'!C:C))</f>
        <v/>
      </c>
      <c r="G42" s="4"/>
      <c r="H42" s="4"/>
      <c r="I42" s="4" t="str">
        <f t="shared" si="2"/>
        <v/>
      </c>
      <c r="J42" s="4" t="str">
        <f>IF(A42="","",IFERROR(VLOOKUP(A42,PRODUTOS!A:E,5,FALSE),""))</f>
        <v/>
      </c>
      <c r="K42" s="4" t="str">
        <f t="shared" si="3"/>
        <v/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 t="str">
        <f>IF(A43="","",IFERROR(VLOOKUP(A43,PRODUTOS!A:B,2,FALSE),""))</f>
        <v/>
      </c>
      <c r="C43" s="4" t="str">
        <f>IF(A43="","",IFERROR(VLOOKUP(A43,PRODUTOS!A:C,3,FALSE),""))</f>
        <v/>
      </c>
      <c r="D43" s="4"/>
      <c r="E43" s="4"/>
      <c r="F43" s="4"/>
      <c r="G43" s="4"/>
      <c r="H43" s="4"/>
      <c r="I43" s="4" t="str">
        <f t="shared" si="2"/>
        <v/>
      </c>
      <c r="J43" s="4" t="str">
        <f>IF(A43="","",IFERROR(VLOOKUP(A43,PRODUTOS!A:E,5,FALSE),""))</f>
        <v/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 t="str">
        <f>IF(A44="","",IFERROR(VLOOKUP(A44,PRODUTOS!A:B,2,FALSE),""))</f>
        <v/>
      </c>
      <c r="C44" s="4" t="str">
        <f>IF(A44="","",IFERROR(VLOOKUP(A44,PRODUTOS!A:C,3,FALSE),""))</f>
        <v/>
      </c>
      <c r="D44" s="4"/>
      <c r="E44" s="4"/>
      <c r="F44" s="4"/>
      <c r="G44" s="4"/>
      <c r="H44" s="4"/>
      <c r="I44" s="4" t="str">
        <f t="shared" si="2"/>
        <v/>
      </c>
      <c r="J44" s="4" t="str">
        <f>IF(A44="","",IFERROR(VLOOKUP(A44,PRODUTOS!A:E,5,FALSE),""))</f>
        <v/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 t="str">
        <f>IF(A45="","",IFERROR(VLOOKUP(A45,PRODUTOS!A:B,2,FALSE),""))</f>
        <v/>
      </c>
      <c r="C45" s="4" t="str">
        <f>IF(A45="","",IFERROR(VLOOKUP(A45,PRODUTOS!A:C,3,FALSE),""))</f>
        <v/>
      </c>
      <c r="D45" s="4"/>
      <c r="E45" s="4"/>
      <c r="F45" s="4"/>
      <c r="G45" s="4"/>
      <c r="H45" s="4"/>
      <c r="I45" s="4" t="str">
        <f t="shared" si="2"/>
        <v/>
      </c>
      <c r="J45" s="4" t="str">
        <f>IF(A45="","",IFERROR(VLOOKUP(A45,PRODUTOS!A:E,5,FALSE),""))</f>
        <v/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 t="str">
        <f>IF(A46="","",IFERROR(VLOOKUP(A46,PRODUTOS!A:B,2,FALSE),""))</f>
        <v/>
      </c>
      <c r="C46" s="4" t="str">
        <f>IF(A46="","",IFERROR(VLOOKUP(A46,PRODUTOS!A:C,3,FALSE),""))</f>
        <v/>
      </c>
      <c r="D46" s="4"/>
      <c r="E46" s="4"/>
      <c r="F46" s="4"/>
      <c r="G46" s="4"/>
      <c r="H46" s="4"/>
      <c r="I46" s="4" t="str">
        <f t="shared" si="2"/>
        <v/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 t="str">
        <f>IF(A47="","",IFERROR(VLOOKUP(A47,PRODUTOS!A:C,3,FALSE),""))</f>
        <v/>
      </c>
      <c r="D47" s="4"/>
      <c r="E47" s="4"/>
      <c r="F47" s="4"/>
      <c r="G47" s="4"/>
      <c r="H47" s="4"/>
      <c r="I47" s="4" t="str">
        <f t="shared" si="2"/>
        <v/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 t="str">
        <f>IF(A48="","",IFERROR(VLOOKUP(A48,PRODUTOS!A:C,3,FALSE),""))</f>
        <v/>
      </c>
      <c r="D48" s="4"/>
      <c r="E48" s="4"/>
      <c r="F48" s="4"/>
      <c r="G48" s="4"/>
      <c r="H48" s="4"/>
      <c r="I48" s="4" t="str">
        <f t="shared" si="2"/>
        <v/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 t="str">
        <f>IF(A49="","",IFERROR(VLOOKUP(A49,PRODUTOS!A:C,3,FALSE),""))</f>
        <v/>
      </c>
      <c r="D49" s="4"/>
      <c r="E49" s="4"/>
      <c r="F49" s="4"/>
      <c r="G49" s="4"/>
      <c r="H49" s="4"/>
      <c r="I49" s="4" t="str">
        <f t="shared" si="2"/>
        <v/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 t="str">
        <f>IF(A50="","",IFERROR(VLOOKUP(A50,PRODUTOS!A:C,3,FALSE),""))</f>
        <v/>
      </c>
      <c r="D50" s="4"/>
      <c r="E50" s="4"/>
      <c r="F50" s="4"/>
      <c r="G50" s="4"/>
      <c r="H50" s="4"/>
      <c r="I50" s="4" t="str">
        <f t="shared" si="2"/>
        <v/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 t="str">
        <f>IF(A51="","",IFERROR(VLOOKUP(A51,PRODUTOS!A:C,3,FALSE),""))</f>
        <v/>
      </c>
      <c r="D51" s="4"/>
      <c r="E51" s="4"/>
      <c r="F51" s="4"/>
      <c r="G51" s="4"/>
      <c r="H51" s="4"/>
      <c r="I51" s="4" t="str">
        <f t="shared" si="2"/>
        <v/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 t="str">
        <f>IF(A52="","",IFERROR(VLOOKUP(A52,PRODUTOS!A:C,3,FALSE),""))</f>
        <v/>
      </c>
      <c r="D52" s="4"/>
      <c r="E52" s="4"/>
      <c r="F52" s="4"/>
      <c r="G52" s="4"/>
      <c r="H52" s="4"/>
      <c r="I52" s="4" t="str">
        <f t="shared" si="2"/>
        <v/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 t="str">
        <f>IF(A53="","",IFERROR(VLOOKUP(A53,PRODUTOS!A:C,3,FALSE),""))</f>
        <v/>
      </c>
      <c r="D53" s="4"/>
      <c r="E53" s="4"/>
      <c r="F53" s="4"/>
      <c r="G53" s="4"/>
      <c r="H53" s="4"/>
      <c r="I53" s="4" t="str">
        <f t="shared" si="2"/>
        <v/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 t="str">
        <f>IF(A54="","",IFERROR(VLOOKUP(A54,PRODUTOS!A:C,3,FALSE),""))</f>
        <v/>
      </c>
      <c r="D54" s="4"/>
      <c r="E54" s="4"/>
      <c r="F54" s="4"/>
      <c r="G54" s="4"/>
      <c r="H54" s="4"/>
      <c r="I54" s="4" t="str">
        <f t="shared" si="2"/>
        <v/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 t="str">
        <f>IF(A55="","",IFERROR(VLOOKUP(A55,PRODUTOS!A:C,3,FALSE),""))</f>
        <v/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 t="str">
        <f>IF(A56="","",IFERROR(VLOOKUP(A56,PRODUTOS!A:C,3,FALSE),""))</f>
        <v/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 t="str">
        <f>IF(A57="","",IFERROR(VLOOKUP(A57,PRODUTOS!A:C,3,FALSE),""))</f>
        <v/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 t="str">
        <f>IF(A58="","",IFERROR(VLOOKUP(A58,PRODUTOS!A:C,3,FALSE),""))</f>
        <v/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autoFilter ref="$A$1:$K$3"/>
  <conditionalFormatting sqref="I1:I999">
    <cfRule type="cellIs" dxfId="0" priority="1" operator="equal">
      <formula>"REPOR ESTOQUE"</formula>
    </cfRule>
  </conditionalFormatting>
  <conditionalFormatting sqref="I1:I999">
    <cfRule type="cellIs" dxfId="1" priority="2" operator="equal">
      <formula>"OK"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4.75"/>
    <col customWidth="1" min="2" max="2" width="15.25"/>
    <col customWidth="1" min="3" max="3" width="23.25"/>
    <col customWidth="1" min="7" max="7" width="17.88"/>
  </cols>
  <sheetData>
    <row r="1">
      <c r="A1" s="5" t="s">
        <v>53</v>
      </c>
      <c r="B1" s="5"/>
      <c r="C1" s="6"/>
      <c r="D1" s="6"/>
      <c r="E1" s="6"/>
      <c r="F1" s="5" t="s">
        <v>1</v>
      </c>
      <c r="G1" s="5" t="s">
        <v>52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5"/>
      <c r="B2" s="6"/>
      <c r="C2" s="6"/>
      <c r="D2" s="6"/>
      <c r="E2" s="6"/>
      <c r="F2" s="5" t="s">
        <v>8</v>
      </c>
      <c r="G2" s="6">
        <f>ESTOQUE!K2</f>
        <v>425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5" t="s">
        <v>54</v>
      </c>
      <c r="B3" s="6">
        <f>COUNTA(PRODUTOS!A2:A999)</f>
        <v>3</v>
      </c>
      <c r="C3" s="5"/>
      <c r="D3" s="6"/>
      <c r="E3" s="6"/>
      <c r="F3" s="5" t="s">
        <v>12</v>
      </c>
      <c r="G3" s="6">
        <f>ESTOQUE!K3</f>
        <v>98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5"/>
      <c r="B4" s="6"/>
      <c r="C4" s="6"/>
      <c r="D4" s="6"/>
      <c r="E4" s="6"/>
      <c r="F4" s="5" t="s">
        <v>14</v>
      </c>
      <c r="G4" s="6">
        <f>ESTOQUE!K4</f>
        <v>72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5" t="s">
        <v>55</v>
      </c>
      <c r="B5" s="6">
        <f>COUNTIF(ESTOQUE!I2:I999,"REPOR ESTOQUE")</f>
        <v>2</v>
      </c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5" t="s">
        <v>56</v>
      </c>
      <c r="B7" s="6">
        <f>SUM(ESTOQUE!K2:K999)</f>
        <v>595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5" t="s">
        <v>57</v>
      </c>
      <c r="B9" s="6">
        <f>SUM(ENTRADAS!G2:G999)</f>
        <v>830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/>
      <c r="B11" s="6"/>
      <c r="C11" s="6"/>
      <c r="D11" s="6"/>
      <c r="E11" s="6"/>
      <c r="F11" s="6"/>
      <c r="G11" s="5"/>
      <c r="H11" s="5"/>
      <c r="I11" s="5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6"/>
      <c r="C12" s="6"/>
      <c r="D12" s="6"/>
      <c r="E12" s="6"/>
      <c r="F12" s="6"/>
      <c r="G12" s="5"/>
      <c r="H12" s="5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5" t="s">
        <v>51</v>
      </c>
      <c r="B13" s="5" t="s">
        <v>30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5" t="s">
        <v>58</v>
      </c>
      <c r="B14" s="6">
        <f>COUNTIF(ESTOQUE!I2:I999,"OK")</f>
        <v>1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5" t="s">
        <v>59</v>
      </c>
      <c r="B15" s="6">
        <f>COUNTIF(ESTOQUE!I2:I999,"REPOR ESTOQUE")</f>
        <v>2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</sheetData>
  <drawing r:id="rId1"/>
</worksheet>
</file>